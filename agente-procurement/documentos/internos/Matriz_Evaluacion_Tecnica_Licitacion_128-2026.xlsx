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Matriz Evaluación" sheetId="2" state="visible" r:id="rId4"/>
    <sheet name="Rúbrica de No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<sst xmlns="http://schemas.openxmlformats.org/spreadsheetml/2006/main" count="99" uniqueCount="95">
  <si>
    <t xml:space="preserve">MATRIZ DE EVALUACIÓN TÉCNICA — LICITACIÓN PÚBLICA N° 128-2026</t>
  </si>
  <si>
    <t xml:space="preserve">Agroindustrial Los Robles S.A. — Suministro, Instalación y Mantención de Equipos de Refrigeración Industrial, Planta de Procesos Los Ángeles</t>
  </si>
  <si>
    <t xml:space="preserve">DATOS GENERALES DE LA LICITACIÓN (referencia, según Bases)</t>
  </si>
  <si>
    <t xml:space="preserve">•  N° de Licitación: 128-2026</t>
  </si>
  <si>
    <t xml:space="preserve">•  Mandante: Agroindustrial Los Robles S.A. (ficticio)</t>
  </si>
  <si>
    <t xml:space="preserve">•  Unidad requirente: Planta de Procesos Los Ángeles</t>
  </si>
  <si>
    <t xml:space="preserve">•  Presupuesto referencial: $186.500.000 (IVA incluido)</t>
  </si>
  <si>
    <t xml:space="preserve">•  Plazo máximo de entrega e instalación: 75 días corridos desde firma de contrato</t>
  </si>
  <si>
    <t xml:space="preserve">•  Vigencia mínima de la oferta: 90 días corridos desde la apertura</t>
  </si>
  <si>
    <t xml:space="preserve">CÓMO USAR ESTA PLANILLA</t>
  </si>
  <si>
    <t xml:space="preserve">1. Vaya a la hoja "Matriz Evaluación". Las celdas de color AMARILLO son las únicas que debe completar el evaluador; el resto se calcula solo.</t>
  </si>
  <si>
    <t xml:space="preserve">2. En la fila "Precio Ofertado (CLP)" ingrese el precio total de cada propuesta. La nota del criterio Precio se calcula automáticamente comparando cada oferta con la de menor valor.</t>
  </si>
  <si>
    <t xml:space="preserve">3. Para cada Subcriterio, asigne una Nota de 1 a 7 a cada oferente (1 = No cumple / Insuficiente, 7 = Cumple completa y sobresalientemente). Use la hoja "Rúbrica de Notas" como guía para calificar de forma objetiva y consistente.</t>
  </si>
  <si>
    <t xml:space="preserve">4. El "Puntaje Ponderado" y la "NOTA FINAL" de cada oferente se calculan automáticamente en base a las ponderaciones ya definidas.</t>
  </si>
  <si>
    <t xml:space="preserve">5. Puede reemplazar los encabezados "OFERENTE 1/2/3" por el nombre real de cada proveedor, y agregar columnas adicionales copiando el formato si se reciben más de 3 ofertas.</t>
  </si>
  <si>
    <t xml:space="preserve">6. Las categorías y sus ponderaciones (Precio 40%, Experiencia 25%, Plazo 15%, Cumplimiento técnico 20%) provienen directamente del punto 7 "Criterios de Evaluación" de las Bases. Los subcriterios dentro de cada categoría fueron desglosados a partir de los requisitos y especificaciones técnicas de las Bases (puntos 4 y 6) para facilitar una evaluación más objetiva; sus ponderaciones individuales suman siempre el % de la categoría a la que pertenecen.</t>
  </si>
  <si>
    <t xml:space="preserve">Documento de ejemplo generado a partir de un archivo de bases ficticio, únicamente con fines de prueba.</t>
  </si>
  <si>
    <t xml:space="preserve">MATRIZ DE EVALUACIÓN TÉCNICA Y ECONÓMICA — LICITACIÓN PÚBLICA N° 128-2026</t>
  </si>
  <si>
    <t xml:space="preserve">Suministro, Instalación y Mantención de Equipos de Refrigeración Industrial — Planta de Procesos Los Ángeles</t>
  </si>
  <si>
    <t xml:space="preserve">CATEGORÍA / SUBCRITERIO</t>
  </si>
  <si>
    <t xml:space="preserve">OFERENTE 1</t>
  </si>
  <si>
    <t xml:space="preserve">OFERENTE 2</t>
  </si>
  <si>
    <t xml:space="preserve">OFERENTE 3</t>
  </si>
  <si>
    <t xml:space="preserve">N°</t>
  </si>
  <si>
    <t xml:space="preserve">Categoría</t>
  </si>
  <si>
    <t xml:space="preserve">Subcriterio</t>
  </si>
  <si>
    <t xml:space="preserve">Ponderación</t>
  </si>
  <si>
    <t xml:space="preserve">Nota
(1 a 7)</t>
  </si>
  <si>
    <t xml:space="preserve">Puntaje
ponderado</t>
  </si>
  <si>
    <t xml:space="preserve">1. PRECIO OFERTADO</t>
  </si>
  <si>
    <t xml:space="preserve">Precio Ofertado (CLP) — ingresar valor de la propuesta</t>
  </si>
  <si>
    <t xml:space="preserve">Precio ofertado respecto al presupuesto referencial y a la oferta de menor valor</t>
  </si>
  <si>
    <t xml:space="preserve">Subtotal 1. PRECIO OFERTADO</t>
  </si>
  <si>
    <t xml:space="preserve">2. EXPERIENCIA Y PROYECTOS SIMILARES (Anexo N°4)</t>
  </si>
  <si>
    <t xml:space="preserve">N° de proyectos similares acreditados en los últimos 5 años (mínimo exigido: 2)</t>
  </si>
  <si>
    <t xml:space="preserve">Monto y envergadura de los proyectos de refrigeración industrial ejecutados</t>
  </si>
  <si>
    <t xml:space="preserve">Pertinencia del rubro y respaldo documental (certificados / contratos / OC) de la experiencia declarada</t>
  </si>
  <si>
    <t xml:space="preserve">Subtotal 2. EXPERIENCIA Y PROYECTOS SIMILARES (Anexo N°4)</t>
  </si>
  <si>
    <t xml:space="preserve">3. PLAZO DE ENTREGA E INSTALACIÓN</t>
  </si>
  <si>
    <t xml:space="preserve">Plazo ofertado de entrega e instalación, respecto del máximo de 75 días corridos</t>
  </si>
  <si>
    <t xml:space="preserve">Subtotal 3. PLAZO DE ENTREGA E INSTALACIÓN</t>
  </si>
  <si>
    <t xml:space="preserve">4. CUMPLIMIENTO DE ESPECIFICACIONES TÉCNICAS</t>
  </si>
  <si>
    <t xml:space="preserve">Unidades condensadoras industriales NH3, ≥250 TR c/u (6 unidades exigidas)</t>
  </si>
  <si>
    <t xml:space="preserve">Torres de enfriamiento de tiro inducido, 1.200 m³/h (2 unidades exigidas)</t>
  </si>
  <si>
    <t xml:space="preserve">Sistema de control y monitoreo remoto de temperatura (4 cámaras de frío)</t>
  </si>
  <si>
    <t xml:space="preserve">Válvulas de expansión electrónicas (12 unidades exigidas)</t>
  </si>
  <si>
    <t xml:space="preserve">Servicio de mantención preventiva mensual ofertado (24 meses)</t>
  </si>
  <si>
    <t xml:space="preserve">Capacitación técnica al personal de mantención (mínimo 16 horas)</t>
  </si>
  <si>
    <t xml:space="preserve">Cumplimiento normativa DS 43 / NCh 2857 y garantía de fabricante (mínimo 24 meses)</t>
  </si>
  <si>
    <t xml:space="preserve">Subtotal 4. CUMPLIMIENTO DE ESPECIFICACIONES TÉCNICAS</t>
  </si>
  <si>
    <t xml:space="preserve">Verificación: suma de ponderaciones de subcriterios (debe ser 100%)</t>
  </si>
  <si>
    <t xml:space="preserve">NOTA FINAL PONDERADA (escala 1 a 7)</t>
  </si>
  <si>
    <t xml:space="preserve">Escala de notas: 1 = No cumple / Insuficiente · 4 = Cumple parcialmente / Aceptable · 7 = Cumple completa y sobresalientemente. Ver hoja "Rúbrica de Notas". Ponderaciones de categorías (Precio 40%, Experiencia 25%, Plazo 15%, Cumplimiento técnico 20%) según punto 7 de las Bases; subcriterios desglosados por el equipo evaluador a partir de los puntos 4 y 6 de las Bases.</t>
  </si>
  <si>
    <t xml:space="preserve">RÚBRICA GENERAL DE CALIFICACIÓN (Escala 1 a 7)</t>
  </si>
  <si>
    <t xml:space="preserve">Rango de Nota</t>
  </si>
  <si>
    <t xml:space="preserve">Nota</t>
  </si>
  <si>
    <t xml:space="preserve">Descripción</t>
  </si>
  <si>
    <t xml:space="preserve">No cumple</t>
  </si>
  <si>
    <t xml:space="preserve">1 - 2</t>
  </si>
  <si>
    <t xml:space="preserve">El oferente no cumple el requisito, no presenta información, o esta es claramente insuficiente / no verificable.</t>
  </si>
  <si>
    <t xml:space="preserve">Cumple insuficientemente</t>
  </si>
  <si>
    <t xml:space="preserve">3</t>
  </si>
  <si>
    <t xml:space="preserve">Cumple de forma parcial y con deficiencias relevantes respecto de lo exigido en las Bases.</t>
  </si>
  <si>
    <t xml:space="preserve">Cumple aceptablemente</t>
  </si>
  <si>
    <t xml:space="preserve">4 - 5</t>
  </si>
  <si>
    <t xml:space="preserve">Cumple el requisito mínimo exigido en las Bases, sin aportar mejoras significativas.</t>
  </si>
  <si>
    <t xml:space="preserve">Cumple satisfactoriamente</t>
  </si>
  <si>
    <t xml:space="preserve">6</t>
  </si>
  <si>
    <t xml:space="preserve">Cumple el requisito exigido y presenta mejoras o respaldo adicional relevante.</t>
  </si>
  <si>
    <t xml:space="preserve">Cumple sobresalientemente</t>
  </si>
  <si>
    <t xml:space="preserve">7</t>
  </si>
  <si>
    <t xml:space="preserve">Cumple íntegramente el requisito y lo supera de forma destacable, con amplio respaldo documental.</t>
  </si>
  <si>
    <t xml:space="preserve">GUÍA ESPECÍFICA POR SUBCRITERIO</t>
  </si>
  <si>
    <t xml:space="preserve">N° de proyectos similares acreditados</t>
  </si>
  <si>
    <t xml:space="preserve">Nota 7: 4 o más proyectos de refrigeración industrial en los últimos 5 años, con respaldo documental completo. Nota 4-5: cumple el mínimo de 2 proyectos exigido. Nota 1-2: menos de 2 proyectos o sin respaldo (Anexo N°4).</t>
  </si>
  <si>
    <t xml:space="preserve">Monto y envergadura de los proyectos</t>
  </si>
  <si>
    <t xml:space="preserve">Evalúe si los montos y tamaño de los proyectos declarados son comparables o superiores al presupuesto referencial ($186.500.000).</t>
  </si>
  <si>
    <t xml:space="preserve">Pertinencia del rubro y respaldo documental</t>
  </si>
  <si>
    <t xml:space="preserve">Nota alta si los proyectos son en refrigeración industrial con amoníaco (NH3) y cuentan con certificados de recepción conforme, contratos u órdenes de compra adjuntos.</t>
  </si>
  <si>
    <t xml:space="preserve">Plazo de entrega e instalación</t>
  </si>
  <si>
    <t xml:space="preserve">Nota 7: plazo ofertado muy inferior a 75 días corridos. Nota 4-5: plazo cercano o igual a 75 días. Nota 1-2: plazo igual o superior al máximo, o no especificado.</t>
  </si>
  <si>
    <t xml:space="preserve">Unidades condensadoras NH3 ≥250 TR</t>
  </si>
  <si>
    <t xml:space="preserve">Verifique capacidad ≥250 TR por unidad y cantidad de 6 unidades. Nota baja si la capacidad ofrecida es inferior o la cantidad no se cumple.</t>
  </si>
  <si>
    <t xml:space="preserve">Torres de enfriamiento tiro inducido</t>
  </si>
  <si>
    <t xml:space="preserve">Verifique capacidad de 1.200 m³/h y cantidad de 2 unidades.</t>
  </si>
  <si>
    <t xml:space="preserve">Sistema de control y monitoreo remoto</t>
  </si>
  <si>
    <t xml:space="preserve">Verifique cobertura de las 4 cámaras de frío y funcionalidades de monitoreo remoto ofrecidas.</t>
  </si>
  <si>
    <t xml:space="preserve">Válvulas de expansión electrónicas</t>
  </si>
  <si>
    <t xml:space="preserve">Verifique cantidad (12 unidades) y ficha técnica de las válvulas ofertadas.</t>
  </si>
  <si>
    <t xml:space="preserve">Servicio de mantención preventiva mensual</t>
  </si>
  <si>
    <t xml:space="preserve">Verifique que el servicio cubra los 24 meses posteriores a la puesta en marcha, con frecuencia mensual.</t>
  </si>
  <si>
    <t xml:space="preserve">Capacitación técnica al personal</t>
  </si>
  <si>
    <t xml:space="preserve">Verifique que se ofrezcan al menos 16 horas de capacitación al personal de mantención de la Planta.</t>
  </si>
  <si>
    <t xml:space="preserve">Normativa DS 43 / NCh 2857 y garantía de fabricante</t>
  </si>
  <si>
    <t xml:space="preserve">Verifique declaración expresa de cumplimiento de DS 43 y NCh 2857, y garantía de fabricante no inferior a 24 meses.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</si>
</sst>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\$#,##0"/>
    <numFmt numFmtId="16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EAF1DD"/>
      </patternFill>
    </fill>
    <fill>
      <patternFill patternType="solid">
        <fgColor rgb="FF1F3864"/>
        <bgColor rgb="FF333333"/>
      </patternFill>
    </fill>
    <fill>
      <patternFill patternType="solid">
        <fgColor rgb="FF4472C4"/>
        <bgColor rgb="FF2E5395"/>
      </patternFill>
    </fill>
    <fill>
      <patternFill patternType="solid">
        <fgColor rgb="FFFFC000"/>
        <bgColor rgb="FFFF9900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EAF1DD"/>
      </patternFill>
    </fill>
    <fill>
      <patternFill patternType="solid">
        <fgColor rgb="FFEAF1DD"/>
        <bgColor rgb="FFF2F2F2"/>
      </patternFill>
    </fill>
    <fill>
      <patternFill patternType="solid">
        <fgColor rgb="FFD9E2F3"/>
        <bgColor rgb="FFEAF1D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1DD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3" customFormat="false" ht="27.75" hidden="false" customHeight="tru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3" customFormat="false" ht="15" hidden="false" customHeight="false" outlineLevel="0" collapsed="false">
      <c r="B13" s="3" t="s">
        <v>9</v>
      </c>
    </row>
    <row r="14" customFormat="false" ht="30" hidden="false" customHeight="true" outlineLevel="0" collapsed="false">
      <c r="B14" s="4" t="s">
        <v>10</v>
      </c>
    </row>
    <row r="15" customFormat="false" ht="30" hidden="false" customHeight="true" outlineLevel="0" collapsed="false">
      <c r="B15" s="4" t="s">
        <v>11</v>
      </c>
    </row>
    <row r="16" customFormat="false" ht="30" hidden="false" customHeight="true" outlineLevel="0" collapsed="false">
      <c r="B16" s="4" t="s">
        <v>12</v>
      </c>
    </row>
    <row r="17" customFormat="false" ht="30" hidden="false" customHeight="true" outlineLevel="0" collapsed="false">
      <c r="B17" s="4" t="s">
        <v>13</v>
      </c>
    </row>
    <row r="18" customFormat="false" ht="30" hidden="false" customHeight="true" outlineLevel="0" collapsed="false">
      <c r="B18" s="4" t="s">
        <v>14</v>
      </c>
    </row>
    <row r="19" customFormat="false" ht="30" hidden="false" customHeight="true" outlineLevel="0" collapsed="false">
      <c r="B19" s="4" t="s">
        <v>15</v>
      </c>
    </row>
    <row r="21" customFormat="false" ht="15" hidden="false" customHeight="false" outlineLevel="0" collapsed="false">
      <c r="B21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21.75" hidden="false" customHeight="true" outlineLevel="0" collapsed="false">
      <c r="A1" s="6" t="s">
        <v>17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15.75" hidden="false" customHeight="true" outlineLevel="0" collapsed="false">
      <c r="A2" s="7" t="s">
        <v>18</v>
      </c>
      <c r="B2" s="7"/>
      <c r="C2" s="7"/>
      <c r="D2" s="7"/>
      <c r="E2" s="7"/>
      <c r="F2" s="7"/>
      <c r="G2" s="7"/>
      <c r="H2" s="7"/>
      <c r="I2" s="7"/>
      <c r="J2" s="7"/>
    </row>
    <row r="4" customFormat="false" ht="15" hidden="false" customHeight="true" outlineLevel="0" collapsed="false">
      <c r="A4" s="8" t="s">
        <v>19</v>
      </c>
      <c r="B4" s="8"/>
      <c r="C4" s="8"/>
      <c r="D4" s="8"/>
      <c r="E4" s="9" t="s">
        <v>20</v>
      </c>
      <c r="F4" s="9"/>
      <c r="G4" s="9" t="s">
        <v>21</v>
      </c>
      <c r="H4" s="9"/>
      <c r="I4" s="9" t="s">
        <v>22</v>
      </c>
      <c r="J4" s="9"/>
    </row>
    <row r="5" customFormat="false" ht="27.75" hidden="false" customHeight="true" outlineLevel="0" collapsed="false">
      <c r="A5" s="10" t="s">
        <v>23</v>
      </c>
      <c r="B5" s="10" t="s">
        <v>24</v>
      </c>
      <c r="C5" s="10" t="s">
        <v>25</v>
      </c>
      <c r="D5" s="10" t="s">
        <v>26</v>
      </c>
      <c r="E5" s="10" t="s">
        <v>27</v>
      </c>
      <c r="F5" s="10" t="s">
        <v>28</v>
      </c>
      <c r="G5" s="10" t="s">
        <v>27</v>
      </c>
      <c r="H5" s="10" t="s">
        <v>28</v>
      </c>
      <c r="I5" s="10" t="s">
        <v>27</v>
      </c>
      <c r="J5" s="10" t="s">
        <v>28</v>
      </c>
    </row>
    <row r="6" customFormat="false" ht="18" hidden="false" customHeight="true" outlineLevel="0" collapsed="false">
      <c r="A6" s="11"/>
      <c r="B6" s="12" t="s">
        <v>29</v>
      </c>
      <c r="C6" s="12"/>
      <c r="D6" s="13" t="n">
        <v>0.4</v>
      </c>
      <c r="E6" s="11"/>
      <c r="F6" s="11"/>
      <c r="G6" s="11"/>
      <c r="H6" s="11"/>
      <c r="I6" s="11"/>
      <c r="J6" s="11"/>
    </row>
    <row r="7" customFormat="false" ht="15" hidden="false" customHeight="true" outlineLevel="0" collapsed="false">
      <c r="B7" s="14" t="s">
        <v>30</v>
      </c>
      <c r="C7" s="14"/>
      <c r="E7" s="15"/>
      <c r="F7" s="16"/>
      <c r="G7" s="15"/>
      <c r="H7" s="16"/>
      <c r="I7" s="15"/>
      <c r="J7" s="16"/>
    </row>
    <row r="8" customFormat="false" ht="30" hidden="false" customHeight="true" outlineLevel="0" collapsed="false">
      <c r="A8" s="17" t="n">
        <v>1</v>
      </c>
      <c r="B8" s="16"/>
      <c r="C8" s="18" t="s">
        <v>31</v>
      </c>
      <c r="D8" s="19" t="n">
        <v>0.4</v>
      </c>
      <c r="E8" s="20" t="n">
        <f aca="false">IFERROR(MIN($E$7,$G$7,$I$7)/E7*7,0)</f>
        <v>0</v>
      </c>
      <c r="F8" s="21" t="n">
        <f aca="false">IF(ISNUMBER(E8),E8*$D$8,0)</f>
        <v>0</v>
      </c>
      <c r="G8" s="20" t="n">
        <f aca="false">IFERROR(MIN($E$7,$G$7,$I$7)/G7*7,0)</f>
        <v>0</v>
      </c>
      <c r="H8" s="21" t="n">
        <f aca="false">IF(ISNUMBER(G8),G8*$D$8,0)</f>
        <v>0</v>
      </c>
      <c r="I8" s="20" t="n">
        <f aca="false">IFERROR(MIN($E$7,$G$7,$I$7)/I7*7,0)</f>
        <v>0</v>
      </c>
      <c r="J8" s="21" t="n">
        <f aca="false">IF(ISNUMBER(I8),I8*$D$8,0)</f>
        <v>0</v>
      </c>
    </row>
    <row r="9" customFormat="false" ht="15.75" hidden="false" customHeight="true" outlineLevel="0" collapsed="false">
      <c r="A9" s="22" t="s">
        <v>32</v>
      </c>
      <c r="B9" s="22"/>
      <c r="C9" s="22"/>
      <c r="D9" s="23" t="n">
        <v>0.4</v>
      </c>
      <c r="E9" s="24"/>
      <c r="F9" s="25" t="n">
        <f aca="false">SUM(F7:F8)</f>
        <v>0</v>
      </c>
      <c r="G9" s="24"/>
      <c r="H9" s="25" t="n">
        <f aca="false">SUM(H7:H8)</f>
        <v>0</v>
      </c>
      <c r="I9" s="24"/>
      <c r="J9" s="25" t="n">
        <f aca="false">SUM(J7:J8)</f>
        <v>0</v>
      </c>
    </row>
    <row r="10" customFormat="false" ht="18" hidden="false" customHeight="true" outlineLevel="0" collapsed="false">
      <c r="A10" s="11"/>
      <c r="B10" s="12" t="s">
        <v>33</v>
      </c>
      <c r="C10" s="12"/>
      <c r="D10" s="13" t="n">
        <v>0.25</v>
      </c>
      <c r="E10" s="11"/>
      <c r="F10" s="11"/>
      <c r="G10" s="11"/>
      <c r="H10" s="11"/>
      <c r="I10" s="11"/>
      <c r="J10" s="11"/>
    </row>
    <row r="11" customFormat="false" ht="30" hidden="false" customHeight="true" outlineLevel="0" collapsed="false">
      <c r="A11" s="17" t="n">
        <v>2</v>
      </c>
      <c r="B11" s="16"/>
      <c r="C11" s="18" t="s">
        <v>34</v>
      </c>
      <c r="D11" s="19" t="n">
        <v>0.1</v>
      </c>
      <c r="E11" s="26"/>
      <c r="F11" s="21" t="n">
        <f aca="false">IF(ISNUMBER(E11),E11*$D$11,0)</f>
        <v>0</v>
      </c>
      <c r="G11" s="26"/>
      <c r="H11" s="21" t="n">
        <f aca="false">IF(ISNUMBER(G11),G11*$D$11,0)</f>
        <v>0</v>
      </c>
      <c r="I11" s="26"/>
      <c r="J11" s="21" t="n">
        <f aca="false">IF(ISNUMBER(I11),I11*$D$11,0)</f>
        <v>0</v>
      </c>
    </row>
    <row r="12" customFormat="false" ht="30" hidden="false" customHeight="true" outlineLevel="0" collapsed="false">
      <c r="A12" s="17" t="n">
        <v>3</v>
      </c>
      <c r="B12" s="16"/>
      <c r="C12" s="18" t="s">
        <v>35</v>
      </c>
      <c r="D12" s="19" t="n">
        <v>0.08</v>
      </c>
      <c r="E12" s="26"/>
      <c r="F12" s="21" t="n">
        <f aca="false">IF(ISNUMBER(E12),E12*$D$12,0)</f>
        <v>0</v>
      </c>
      <c r="G12" s="26"/>
      <c r="H12" s="21" t="n">
        <f aca="false">IF(ISNUMBER(G12),G12*$D$12,0)</f>
        <v>0</v>
      </c>
      <c r="I12" s="26"/>
      <c r="J12" s="21" t="n">
        <f aca="false">IF(ISNUMBER(I12),I12*$D$12,0)</f>
        <v>0</v>
      </c>
    </row>
    <row r="13" customFormat="false" ht="30" hidden="false" customHeight="true" outlineLevel="0" collapsed="false">
      <c r="A13" s="17" t="n">
        <v>4</v>
      </c>
      <c r="B13" s="16"/>
      <c r="C13" s="18" t="s">
        <v>36</v>
      </c>
      <c r="D13" s="19" t="n">
        <v>0.07</v>
      </c>
      <c r="E13" s="26"/>
      <c r="F13" s="21" t="n">
        <f aca="false">IF(ISNUMBER(E13),E13*$D$13,0)</f>
        <v>0</v>
      </c>
      <c r="G13" s="26"/>
      <c r="H13" s="21" t="n">
        <f aca="false">IF(ISNUMBER(G13),G13*$D$13,0)</f>
        <v>0</v>
      </c>
      <c r="I13" s="26"/>
      <c r="J13" s="21" t="n">
        <f aca="false">IF(ISNUMBER(I13),I13*$D$13,0)</f>
        <v>0</v>
      </c>
    </row>
    <row r="14" customFormat="false" ht="15.75" hidden="false" customHeight="true" outlineLevel="0" collapsed="false">
      <c r="A14" s="22" t="s">
        <v>37</v>
      </c>
      <c r="B14" s="22"/>
      <c r="C14" s="22"/>
      <c r="D14" s="23" t="n">
        <v>0.25</v>
      </c>
      <c r="E14" s="24"/>
      <c r="F14" s="25" t="n">
        <f aca="false">SUM(F11:F13)</f>
        <v>0</v>
      </c>
      <c r="G14" s="24"/>
      <c r="H14" s="25" t="n">
        <f aca="false">SUM(H11:H13)</f>
        <v>0</v>
      </c>
      <c r="I14" s="24"/>
      <c r="J14" s="25" t="n">
        <f aca="false">SUM(J11:J13)</f>
        <v>0</v>
      </c>
    </row>
    <row r="15" customFormat="false" ht="18" hidden="false" customHeight="true" outlineLevel="0" collapsed="false">
      <c r="A15" s="11"/>
      <c r="B15" s="12" t="s">
        <v>38</v>
      </c>
      <c r="C15" s="12"/>
      <c r="D15" s="13" t="n">
        <v>0.15</v>
      </c>
      <c r="E15" s="11"/>
      <c r="F15" s="11"/>
      <c r="G15" s="11"/>
      <c r="H15" s="11"/>
      <c r="I15" s="11"/>
      <c r="J15" s="11"/>
    </row>
    <row r="16" customFormat="false" ht="30" hidden="false" customHeight="true" outlineLevel="0" collapsed="false">
      <c r="A16" s="17" t="n">
        <v>5</v>
      </c>
      <c r="B16" s="16"/>
      <c r="C16" s="18" t="s">
        <v>39</v>
      </c>
      <c r="D16" s="19" t="n">
        <v>0.15</v>
      </c>
      <c r="E16" s="26"/>
      <c r="F16" s="21" t="n">
        <f aca="false">IF(ISNUMBER(E16),E16*$D$16,0)</f>
        <v>0</v>
      </c>
      <c r="G16" s="26"/>
      <c r="H16" s="21" t="n">
        <f aca="false">IF(ISNUMBER(G16),G16*$D$16,0)</f>
        <v>0</v>
      </c>
      <c r="I16" s="26"/>
      <c r="J16" s="21" t="n">
        <f aca="false">IF(ISNUMBER(I16),I16*$D$16,0)</f>
        <v>0</v>
      </c>
    </row>
    <row r="17" customFormat="false" ht="15.75" hidden="false" customHeight="true" outlineLevel="0" collapsed="false">
      <c r="A17" s="22" t="s">
        <v>40</v>
      </c>
      <c r="B17" s="22"/>
      <c r="C17" s="22"/>
      <c r="D17" s="23" t="n">
        <v>0.15</v>
      </c>
      <c r="E17" s="24"/>
      <c r="F17" s="25" t="n">
        <f aca="false">SUM(F16:F16)</f>
        <v>0</v>
      </c>
      <c r="G17" s="24"/>
      <c r="H17" s="25" t="n">
        <f aca="false">SUM(H16:H16)</f>
        <v>0</v>
      </c>
      <c r="I17" s="24"/>
      <c r="J17" s="25" t="n">
        <f aca="false">SUM(J16:J16)</f>
        <v>0</v>
      </c>
    </row>
    <row r="18" customFormat="false" ht="18" hidden="false" customHeight="true" outlineLevel="0" collapsed="false">
      <c r="A18" s="11"/>
      <c r="B18" s="12" t="s">
        <v>41</v>
      </c>
      <c r="C18" s="12"/>
      <c r="D18" s="13" t="n">
        <v>0.2</v>
      </c>
      <c r="E18" s="11"/>
      <c r="F18" s="11"/>
      <c r="G18" s="11"/>
      <c r="H18" s="11"/>
      <c r="I18" s="11"/>
      <c r="J18" s="11"/>
    </row>
    <row r="19" customFormat="false" ht="30" hidden="false" customHeight="true" outlineLevel="0" collapsed="false">
      <c r="A19" s="17" t="n">
        <v>6</v>
      </c>
      <c r="B19" s="16"/>
      <c r="C19" s="18" t="s">
        <v>42</v>
      </c>
      <c r="D19" s="19" t="n">
        <v>0.04</v>
      </c>
      <c r="E19" s="26"/>
      <c r="F19" s="21" t="n">
        <f aca="false">IF(ISNUMBER(E19),E19*$D$19,0)</f>
        <v>0</v>
      </c>
      <c r="G19" s="26"/>
      <c r="H19" s="21" t="n">
        <f aca="false">IF(ISNUMBER(G19),G19*$D$19,0)</f>
        <v>0</v>
      </c>
      <c r="I19" s="26"/>
      <c r="J19" s="21" t="n">
        <f aca="false">IF(ISNUMBER(I19),I19*$D$19,0)</f>
        <v>0</v>
      </c>
    </row>
    <row r="20" customFormat="false" ht="30" hidden="false" customHeight="true" outlineLevel="0" collapsed="false">
      <c r="A20" s="17" t="n">
        <v>7</v>
      </c>
      <c r="B20" s="16"/>
      <c r="C20" s="18" t="s">
        <v>43</v>
      </c>
      <c r="D20" s="19" t="n">
        <v>0.03</v>
      </c>
      <c r="E20" s="26"/>
      <c r="F20" s="21" t="n">
        <f aca="false">IF(ISNUMBER(E20),E20*$D$20,0)</f>
        <v>0</v>
      </c>
      <c r="G20" s="26"/>
      <c r="H20" s="21" t="n">
        <f aca="false">IF(ISNUMBER(G20),G20*$D$20,0)</f>
        <v>0</v>
      </c>
      <c r="I20" s="26"/>
      <c r="J20" s="21" t="n">
        <f aca="false">IF(ISNUMBER(I20),I20*$D$20,0)</f>
        <v>0</v>
      </c>
    </row>
    <row r="21" customFormat="false" ht="30" hidden="false" customHeight="true" outlineLevel="0" collapsed="false">
      <c r="A21" s="17" t="n">
        <v>8</v>
      </c>
      <c r="B21" s="16"/>
      <c r="C21" s="18" t="s">
        <v>44</v>
      </c>
      <c r="D21" s="19" t="n">
        <v>0.03</v>
      </c>
      <c r="E21" s="26"/>
      <c r="F21" s="21" t="n">
        <f aca="false">IF(ISNUMBER(E21),E21*$D$21,0)</f>
        <v>0</v>
      </c>
      <c r="G21" s="26"/>
      <c r="H21" s="21" t="n">
        <f aca="false">IF(ISNUMBER(G21),G21*$D$21,0)</f>
        <v>0</v>
      </c>
      <c r="I21" s="26"/>
      <c r="J21" s="21" t="n">
        <f aca="false">IF(ISNUMBER(I21),I21*$D$21,0)</f>
        <v>0</v>
      </c>
    </row>
    <row r="22" customFormat="false" ht="30" hidden="false" customHeight="true" outlineLevel="0" collapsed="false">
      <c r="A22" s="17" t="n">
        <v>9</v>
      </c>
      <c r="B22" s="16"/>
      <c r="C22" s="18" t="s">
        <v>45</v>
      </c>
      <c r="D22" s="19" t="n">
        <v>0.02</v>
      </c>
      <c r="E22" s="26"/>
      <c r="F22" s="21" t="n">
        <f aca="false">IF(ISNUMBER(E22),E22*$D$22,0)</f>
        <v>0</v>
      </c>
      <c r="G22" s="26"/>
      <c r="H22" s="21" t="n">
        <f aca="false">IF(ISNUMBER(G22),G22*$D$22,0)</f>
        <v>0</v>
      </c>
      <c r="I22" s="26"/>
      <c r="J22" s="21" t="n">
        <f aca="false">IF(ISNUMBER(I22),I22*$D$22,0)</f>
        <v>0</v>
      </c>
    </row>
    <row r="23" customFormat="false" ht="30" hidden="false" customHeight="true" outlineLevel="0" collapsed="false">
      <c r="A23" s="17" t="n">
        <v>10</v>
      </c>
      <c r="B23" s="16"/>
      <c r="C23" s="18" t="s">
        <v>46</v>
      </c>
      <c r="D23" s="19" t="n">
        <v>0.03</v>
      </c>
      <c r="E23" s="26"/>
      <c r="F23" s="21" t="n">
        <f aca="false">IF(ISNUMBER(E23),E23*$D$23,0)</f>
        <v>0</v>
      </c>
      <c r="G23" s="26"/>
      <c r="H23" s="21" t="n">
        <f aca="false">IF(ISNUMBER(G23),G23*$D$23,0)</f>
        <v>0</v>
      </c>
      <c r="I23" s="26"/>
      <c r="J23" s="21" t="n">
        <f aca="false">IF(ISNUMBER(I23),I23*$D$23,0)</f>
        <v>0</v>
      </c>
    </row>
    <row r="24" customFormat="false" ht="30" hidden="false" customHeight="true" outlineLevel="0" collapsed="false">
      <c r="A24" s="17" t="n">
        <v>11</v>
      </c>
      <c r="B24" s="16"/>
      <c r="C24" s="18" t="s">
        <v>47</v>
      </c>
      <c r="D24" s="19" t="n">
        <v>0.02</v>
      </c>
      <c r="E24" s="26"/>
      <c r="F24" s="21" t="n">
        <f aca="false">IF(ISNUMBER(E24),E24*$D$24,0)</f>
        <v>0</v>
      </c>
      <c r="G24" s="26"/>
      <c r="H24" s="21" t="n">
        <f aca="false">IF(ISNUMBER(G24),G24*$D$24,0)</f>
        <v>0</v>
      </c>
      <c r="I24" s="26"/>
      <c r="J24" s="21" t="n">
        <f aca="false">IF(ISNUMBER(I24),I24*$D$24,0)</f>
        <v>0</v>
      </c>
    </row>
    <row r="25" customFormat="false" ht="30" hidden="false" customHeight="true" outlineLevel="0" collapsed="false">
      <c r="A25" s="17" t="n">
        <v>12</v>
      </c>
      <c r="B25" s="16"/>
      <c r="C25" s="18" t="s">
        <v>48</v>
      </c>
      <c r="D25" s="19" t="n">
        <v>0.03</v>
      </c>
      <c r="E25" s="26"/>
      <c r="F25" s="21" t="n">
        <f aca="false">IF(ISNUMBER(E25),E25*$D$25,0)</f>
        <v>0</v>
      </c>
      <c r="G25" s="26"/>
      <c r="H25" s="21" t="n">
        <f aca="false">IF(ISNUMBER(G25),G25*$D$25,0)</f>
        <v>0</v>
      </c>
      <c r="I25" s="26"/>
      <c r="J25" s="21" t="n">
        <f aca="false">IF(ISNUMBER(I25),I25*$D$25,0)</f>
        <v>0</v>
      </c>
    </row>
    <row r="26" customFormat="false" ht="15.75" hidden="false" customHeight="true" outlineLevel="0" collapsed="false">
      <c r="A26" s="22" t="s">
        <v>49</v>
      </c>
      <c r="B26" s="22"/>
      <c r="C26" s="22"/>
      <c r="D26" s="23" t="n">
        <v>0.2</v>
      </c>
      <c r="E26" s="24"/>
      <c r="F26" s="25" t="n">
        <f aca="false">SUM(F19:F25)</f>
        <v>0</v>
      </c>
      <c r="G26" s="24"/>
      <c r="H26" s="25" t="n">
        <f aca="false">SUM(H19:H25)</f>
        <v>0</v>
      </c>
      <c r="I26" s="24"/>
      <c r="J26" s="25" t="n">
        <f aca="false">SUM(J19:J25)</f>
        <v>0</v>
      </c>
    </row>
    <row r="28" customFormat="false" ht="15" hidden="false" customHeight="false" outlineLevel="0" collapsed="false">
      <c r="A28" s="27" t="s">
        <v>50</v>
      </c>
      <c r="B28" s="27"/>
      <c r="C28" s="27"/>
      <c r="D28" s="28" t="n">
        <f aca="false">D6+D10+D15+D18</f>
        <v>1</v>
      </c>
    </row>
    <row r="29" customFormat="false" ht="19.5" hidden="false" customHeight="true" outlineLevel="0" collapsed="false">
      <c r="A29" s="29" t="s">
        <v>51</v>
      </c>
      <c r="B29" s="29"/>
      <c r="C29" s="29"/>
      <c r="D29" s="30"/>
      <c r="E29" s="30"/>
      <c r="F29" s="31" t="n">
        <f aca="false">F9+F14+F17+F26</f>
        <v>0</v>
      </c>
      <c r="G29" s="30"/>
      <c r="H29" s="31" t="n">
        <f aca="false">H9+H14+H17+H26</f>
        <v>0</v>
      </c>
      <c r="I29" s="30"/>
      <c r="J29" s="31" t="n">
        <f aca="false">J9+J14+J17+J26</f>
        <v>0</v>
      </c>
    </row>
    <row r="31" customFormat="false" ht="27.75" hidden="false" customHeight="true" outlineLevel="0" collapsed="false">
      <c r="A31" s="32" t="s">
        <v>52</v>
      </c>
      <c r="B31" s="32"/>
      <c r="C31" s="32"/>
      <c r="D31" s="32"/>
      <c r="E31" s="32"/>
      <c r="F31" s="32"/>
      <c r="G31" s="32"/>
      <c r="H31" s="32"/>
      <c r="I31" s="32"/>
      <c r="J31" s="32"/>
    </row>
  </sheetData>
  <mergeCells count="18">
    <mergeCell ref="A1:J1"/>
    <mergeCell ref="A2:J2"/>
    <mergeCell ref="A4:D4"/>
    <mergeCell ref="E4:F4"/>
    <mergeCell ref="G4:H4"/>
    <mergeCell ref="I4:J4"/>
    <mergeCell ref="B6:C6"/>
    <mergeCell ref="B7:C7"/>
    <mergeCell ref="A9:C9"/>
    <mergeCell ref="B10:C10"/>
    <mergeCell ref="A14:C14"/>
    <mergeCell ref="B15:C15"/>
    <mergeCell ref="A17:C17"/>
    <mergeCell ref="B18:C18"/>
    <mergeCell ref="A26:C26"/>
    <mergeCell ref="A28:C28"/>
    <mergeCell ref="A29:C29"/>
    <mergeCell ref="A31:J31"/>
  </mergeCells>
  <dataValidations count="1">
    <dataValidation allowBlank="true" error="Ingrese un número entero entre 1 y 7." errorStyle="stop" errorTitle="Nota inválida" operator="between" showDropDown="false" showErrorMessage="true" showInputMessage="false" sqref="E11:E13 G11:G13 I11:I13 E16 G16 I16 E19:E25 G19:G25 I19:I25" type="whole">
      <formula1>1</formula1>
      <formula2>7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70"/>
  </cols>
  <sheetData>
    <row r="1" customFormat="false" ht="19.5" hidden="false" customHeight="true" outlineLevel="0" collapsed="false">
      <c r="A1" s="33" t="s">
        <v>53</v>
      </c>
      <c r="B1" s="33"/>
      <c r="C1" s="33"/>
    </row>
    <row r="3" customFormat="false" ht="15" hidden="false" customHeight="false" outlineLevel="0" collapsed="false">
      <c r="A3" s="10" t="s">
        <v>54</v>
      </c>
      <c r="B3" s="10" t="s">
        <v>55</v>
      </c>
      <c r="C3" s="10" t="s">
        <v>56</v>
      </c>
    </row>
    <row r="4" customFormat="false" ht="30" hidden="false" customHeight="true" outlineLevel="0" collapsed="false">
      <c r="A4" s="18" t="s">
        <v>57</v>
      </c>
      <c r="B4" s="34" t="s">
        <v>58</v>
      </c>
      <c r="C4" s="18" t="s">
        <v>59</v>
      </c>
    </row>
    <row r="5" customFormat="false" ht="30" hidden="false" customHeight="true" outlineLevel="0" collapsed="false">
      <c r="A5" s="18" t="s">
        <v>60</v>
      </c>
      <c r="B5" s="34" t="s">
        <v>61</v>
      </c>
      <c r="C5" s="18" t="s">
        <v>62</v>
      </c>
    </row>
    <row r="6" customFormat="false" ht="30" hidden="false" customHeight="true" outlineLevel="0" collapsed="false">
      <c r="A6" s="18" t="s">
        <v>63</v>
      </c>
      <c r="B6" s="34" t="s">
        <v>64</v>
      </c>
      <c r="C6" s="18" t="s">
        <v>65</v>
      </c>
    </row>
    <row r="7" customFormat="false" ht="30" hidden="false" customHeight="true" outlineLevel="0" collapsed="false">
      <c r="A7" s="18" t="s">
        <v>66</v>
      </c>
      <c r="B7" s="34" t="s">
        <v>67</v>
      </c>
      <c r="C7" s="18" t="s">
        <v>68</v>
      </c>
    </row>
    <row r="8" customFormat="false" ht="30" hidden="false" customHeight="true" outlineLevel="0" collapsed="false">
      <c r="A8" s="18" t="s">
        <v>69</v>
      </c>
      <c r="B8" s="34" t="s">
        <v>70</v>
      </c>
      <c r="C8" s="18" t="s">
        <v>71</v>
      </c>
    </row>
    <row r="11" customFormat="false" ht="15" hidden="false" customHeight="false" outlineLevel="0" collapsed="false">
      <c r="A11" s="33" t="s">
        <v>72</v>
      </c>
      <c r="B11" s="33"/>
      <c r="C11" s="33"/>
    </row>
    <row r="13" customFormat="false" ht="42" hidden="false" customHeight="true" outlineLevel="0" collapsed="false">
      <c r="A13" s="35" t="s">
        <v>73</v>
      </c>
      <c r="B13" s="36" t="s">
        <v>74</v>
      </c>
      <c r="C13" s="36"/>
    </row>
    <row r="14" customFormat="false" ht="42" hidden="false" customHeight="true" outlineLevel="0" collapsed="false">
      <c r="A14" s="35" t="s">
        <v>75</v>
      </c>
      <c r="B14" s="36" t="s">
        <v>76</v>
      </c>
      <c r="C14" s="36"/>
    </row>
    <row r="15" customFormat="false" ht="42" hidden="false" customHeight="true" outlineLevel="0" collapsed="false">
      <c r="A15" s="35" t="s">
        <v>77</v>
      </c>
      <c r="B15" s="36" t="s">
        <v>78</v>
      </c>
      <c r="C15" s="36"/>
    </row>
    <row r="16" customFormat="false" ht="42" hidden="false" customHeight="true" outlineLevel="0" collapsed="false">
      <c r="A16" s="35" t="s">
        <v>79</v>
      </c>
      <c r="B16" s="36" t="s">
        <v>80</v>
      </c>
      <c r="C16" s="36"/>
    </row>
    <row r="17" customFormat="false" ht="42" hidden="false" customHeight="true" outlineLevel="0" collapsed="false">
      <c r="A17" s="35" t="s">
        <v>81</v>
      </c>
      <c r="B17" s="36" t="s">
        <v>82</v>
      </c>
      <c r="C17" s="36"/>
    </row>
    <row r="18" customFormat="false" ht="42" hidden="false" customHeight="true" outlineLevel="0" collapsed="false">
      <c r="A18" s="35" t="s">
        <v>83</v>
      </c>
      <c r="B18" s="36" t="s">
        <v>84</v>
      </c>
      <c r="C18" s="36"/>
    </row>
    <row r="19" customFormat="false" ht="42" hidden="false" customHeight="true" outlineLevel="0" collapsed="false">
      <c r="A19" s="35" t="s">
        <v>85</v>
      </c>
      <c r="B19" s="36" t="s">
        <v>86</v>
      </c>
      <c r="C19" s="36"/>
    </row>
    <row r="20" customFormat="false" ht="42" hidden="false" customHeight="true" outlineLevel="0" collapsed="false">
      <c r="A20" s="35" t="s">
        <v>87</v>
      </c>
      <c r="B20" s="36" t="s">
        <v>88</v>
      </c>
      <c r="C20" s="36"/>
    </row>
    <row r="21" customFormat="false" ht="42" hidden="false" customHeight="true" outlineLevel="0" collapsed="false">
      <c r="A21" s="35" t="s">
        <v>89</v>
      </c>
      <c r="B21" s="36" t="s">
        <v>90</v>
      </c>
      <c r="C21" s="36"/>
    </row>
    <row r="22" customFormat="false" ht="42" hidden="false" customHeight="true" outlineLevel="0" collapsed="false">
      <c r="A22" s="35" t="s">
        <v>91</v>
      </c>
      <c r="B22" s="36" t="s">
        <v>92</v>
      </c>
      <c r="C22" s="36"/>
    </row>
    <row r="23" customFormat="false" ht="42" hidden="false" customHeight="true" outlineLevel="0" collapsed="false">
      <c r="A23" s="35" t="s">
        <v>93</v>
      </c>
      <c r="B23" s="36" t="s">
        <v>94</v>
      </c>
      <c r="C23" s="36"/>
    </row>
  </sheetData>
  <mergeCells count="13">
    <mergeCell ref="A1:C1"/>
    <mergeCell ref="A11:C11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2026-09-07T01:08:14Z</dcterms:created>
  <dc:creator>openpyxl</dc:creator>
  <dc:description/>
  <dc:language>en-US</dc:language>
  <cp:lastModifiedBy/>
  <dcterms:modified xsi:type="dcterms:W3CDTF">2026-09-07T01:08:14Z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
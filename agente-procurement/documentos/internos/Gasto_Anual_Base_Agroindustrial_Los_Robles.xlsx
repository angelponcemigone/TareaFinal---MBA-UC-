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Gasto Anual Base 2025" sheetId="2" state="visible" r:id="rId4"/>
    <sheet name="Histórico 2023-2025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<sst xmlns="http://schemas.openxmlformats.org/spreadsheetml/2006/main" count="59" uniqueCount="52">
  <si>
    <t xml:space="preserve">GASTO ANUAL BASE (BASELINE) — AGROINDUSTRIAL LOS ROBLES S.A. (FICTICIO)</t>
  </si>
  <si>
    <t xml:space="preserve">Refrigeración industrial — Planta de Procesos Los Ángeles — Referencia para Licitación Pública N° 128-2026</t>
  </si>
  <si>
    <t xml:space="preserve">⚠ DOCUMENTO DE EJEMPLO — Todos los montos, proveedores y datos de esta planilla son FICTICIOS, generados únicamente para pruebas de un agente/sistema automatizado (proof of concept). No corresponden a datos financieros reales de ninguna empresa.</t>
  </si>
  <si>
    <t xml:space="preserve">PROPÓSITO DE ESTA PLANILLA</t>
  </si>
  <si>
    <t xml:space="preserve">Esta planilla entrega una línea base (baseline) de gasto anual actual asociado a la operación y mantención de los equipos de refrigeración industrial de la Planta de Procesos Los Ángeles, ANTES de adjudicar la Licitación N° 128-2026.</t>
  </si>
  <si>
    <t xml:space="preserve">El objetivo es que un agente de análisis pueda comparar el Costo Total Anual actual (Hoja "Gasto Anual Base 2025") y su tendencia histórica (Hoja "Histórico 2023-2025") contra el costo total de cada propuesta que se reciba (CAPEX de la oferta + costo anualizado de mantención ofertada), y así estimar ahorros, payback y variación de costo operacional.</t>
  </si>
  <si>
    <t xml:space="preserve">CONTENIDO DEL ARCHIVO</t>
  </si>
  <si>
    <t xml:space="preserve">•  "Gasto Anual Base 2025": detalle mensual del gasto por categoría durante el último año completo (2025), con totales por categoría y total anual mediante fórmulas.</t>
  </si>
  <si>
    <t xml:space="preserve">•  "Histórico 2023-2025": evolución anual del gasto por categoría en los últimos 3 años, con variación % y tasa de crecimiento anual compuesta (CAGR), útil para proyectar el gasto futuro sin renovar los equipos.</t>
  </si>
  <si>
    <t xml:space="preserve">CATEGORÍAS DE GASTO Y SUPUESTO DE CADA UNA</t>
  </si>
  <si>
    <t xml:space="preserve">•  Mantención preventiva y correctiva (contrato actual): Contrato vigente con proveedor de mantención de los equipos de refrigeración actuales (NH3), con mayor actividad a mitad y fin de año.</t>
  </si>
  <si>
    <t xml:space="preserve">•  Consumo eléctrico equipos de refrigeración: Consumo eléctrico exclusivo de compresores, condensadores y torres de enfriamiento; mayor en meses de verano (dic-mar) por mayor carga térmica.</t>
  </si>
  <si>
    <t xml:space="preserve">•  Repuestos e insumos (refrigerante NH3, filtros, válvulas): Recambio de piezas de desgaste y recarga de refrigerante, con mayor demanda en meses de alta operación (may-jul).</t>
  </si>
  <si>
    <t xml:space="preserve">•  Pérdidas por paradas no programadas (producción): Estimación del costo de producción perdida por detenciones no programadas de los equipos, asociado a la antigüedad de las instalaciones.</t>
  </si>
  <si>
    <t xml:space="preserve">•  Personal técnico interno (mantención refrigeración): Prorrateo de remuneraciones del personal interno dedicado a la operación y mantención de los equipos de frío.</t>
  </si>
  <si>
    <t xml:space="preserve">•  Seguros y certificaciones de equipos: Prima de seguro de equipos y certificaciones normativas (DS 43 / NCh 2857), pagada mayoritariamente en diciembre.</t>
  </si>
  <si>
    <t xml:space="preserve">Nota: los valores mensuales de 2025 y los totales anuales 2023-2025 son cifras ficticias fijadas para esta prueba de concepto (celdas en azul); los totales, subtotales y variaciones se calculan con fórmulas (celdas en negro).</t>
  </si>
  <si>
    <t xml:space="preserve">GASTO ANUAL BASE 2025 — REFRIGERACIÓN INDUSTRIAL (CLP) — AGROINDUSTRIAL LOS ROBLES S.A. (FICTICIO)</t>
  </si>
  <si>
    <t xml:space="preserve">Categoría de Gasto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</si>
  <si>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</si>
  <si>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</si>
  <si>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</si>
  <si>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</si>
  <si>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</si>
  <si>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</si>
  <si>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</si>
  <si>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</si>
  <si>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</si>
  <si>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</si>
  <si>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</si>
  <si>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</si>
  <si>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 ANUAL</t>
  </si>
  <si>
    <t xml:space="preserve">% del total</t>
  </si>
  <si>
    <t xml:space="preserve">Mantención preventiva y correctiva (contrato actual)</t>
  </si>
  <si>
    <t xml:space="preserve">Consumo eléctrico equipos de refrigeración</t>
  </si>
  <si>
    <t xml:space="preserve">Repuestos e insumos (refrigerante NH3, filtros, válvulas)</t>
  </si>
  <si>
    <t xml:space="preserve">Pérdidas por paradas no programadas (producción)</t>
  </si>
  <si>
    <t xml:space="preserve">Personal técnico interno (mantención refrigeración)</t>
  </si>
  <si>
    <t xml:space="preserve">Seguros y certificaciones de equipos</t>
  </si>
  <si>
    <t xml:space="preserve">TOTAL GASTO ANUAL 2025</t>
  </si>
  <si>
    <t xml:space="preserve">Cifras en pesos chilenos (CLP), ficticias, referidas exclusivamente a la operación y mantención de los equipos de refrigeración industrial de la Planta de Procesos Los Ángeles. Ver hoja "Supuestos" para el detalle de cada categoría.</t>
  </si>
  <si>
    <t xml:space="preserve">Referencia — Presupuesto de la Licitación 128-2026 (CAPEX + 24 meses mantención)</t>
  </si>
  <si>
    <t xml:space="preserve">EVOLUCIÓN DEL GASTO ANUAL 2023-2025 — REFRIGERACIÓN INDUSTRIAL (CLP)</t>
  </si>
  <si>
    <t xml:space="preserve">2023</t>
  </si>
  <si>
    <t xml:space="preserve">2024</t>
  </si>
  <si>
    <t xml:space="preserve">2025</t>
  </si>
  <si>
    <t xml:space="preserve">Var. 24/23</t>
  </si>
  <si>
    <t xml:space="preserve">Var. 25/24</t>
  </si>
  <si>
    <t xml:space="preserve">CAGR 23-25</t>
  </si>
  <si>
    <t xml:space="preserve">TOTAL GASTO ANUAL</t>
  </si>
  <si>
    <t xml:space="preserve">Gasto proyectado 2026 sin renovar equipos (Total 2025 x (1 + CAGR))</t>
  </si>
  <si>
    <t xml:space="preserve">CAGR = tasa de crecimiento anual compuesta entre 2023 y 2025. La proyección 2026 asume que se mantiene la tendencia histórica de no renovarse los equipos de refrigeración. Cifras ficticias.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</si>
</sst>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CE4E4"/>
        <bgColor rgb="FFF2F2F2"/>
      </patternFill>
    </fill>
    <fill>
      <patternFill patternType="solid">
        <fgColor rgb="FFF2F2F2"/>
        <bgColor rgb="FFFCE4E4"/>
      </patternFill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17.35" hidden="false" customHeight="false" outlineLevel="0" collapsed="false">
      <c r="B2" s="1" t="s">
        <v>0</v>
      </c>
    </row>
    <row r="3" customFormat="false" ht="19.5" hidden="false" customHeight="true" outlineLevel="0" collapsed="false">
      <c r="B3" s="2" t="s">
        <v>1</v>
      </c>
    </row>
    <row r="5" customFormat="false" ht="45" hidden="false" customHeight="tru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</row>
    <row r="8" customFormat="false" ht="31.5" hidden="false" customHeight="true" outlineLevel="0" collapsed="false">
      <c r="B8" s="5" t="s">
        <v>4</v>
      </c>
    </row>
    <row r="9" customFormat="false" ht="31.5" hidden="false" customHeight="true" outlineLevel="0" collapsed="false">
      <c r="B9" s="5" t="s">
        <v>5</v>
      </c>
    </row>
    <row r="11" customFormat="false" ht="15" hidden="false" customHeight="false" outlineLevel="0" collapsed="false">
      <c r="B11" s="4" t="s">
        <v>6</v>
      </c>
    </row>
    <row r="12" customFormat="false" ht="30" hidden="false" customHeight="true" outlineLevel="0" collapsed="false">
      <c r="B12" s="5" t="s">
        <v>7</v>
      </c>
    </row>
    <row r="13" customFormat="false" ht="30" hidden="false" customHeight="true" outlineLevel="0" collapsed="false">
      <c r="B13" s="5" t="s">
        <v>8</v>
      </c>
    </row>
    <row r="15" customFormat="false" ht="15" hidden="false" customHeight="false" outlineLevel="0" collapsed="false">
      <c r="B15" s="4" t="s">
        <v>9</v>
      </c>
    </row>
    <row r="16" customFormat="false" ht="31.5" hidden="false" customHeight="true" outlineLevel="0" collapsed="false">
      <c r="B16" s="5" t="s">
        <v>10</v>
      </c>
    </row>
    <row r="17" customFormat="false" ht="31.5" hidden="false" customHeight="true" outlineLevel="0" collapsed="false">
      <c r="B17" s="5" t="s">
        <v>11</v>
      </c>
    </row>
    <row r="18" customFormat="false" ht="31.5" hidden="false" customHeight="true" outlineLevel="0" collapsed="false">
      <c r="B18" s="5" t="s">
        <v>12</v>
      </c>
    </row>
    <row r="19" customFormat="false" ht="31.5" hidden="false" customHeight="true" outlineLevel="0" collapsed="false">
      <c r="B19" s="5" t="s">
        <v>13</v>
      </c>
    </row>
    <row r="20" customFormat="false" ht="31.5" hidden="false" customHeight="true" outlineLevel="0" collapsed="false">
      <c r="B20" s="5" t="s">
        <v>14</v>
      </c>
    </row>
    <row r="21" customFormat="false" ht="31.5" hidden="false" customHeight="true" outlineLevel="0" collapsed="false">
      <c r="B21" s="5" t="s">
        <v>15</v>
      </c>
    </row>
    <row r="23" customFormat="false" ht="30" hidden="false" customHeight="true" outlineLevel="0" collapsed="false">
      <c r="B23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2" style="0" width="11"/>
    <col collapsed="false" customWidth="true" hidden="false" outlineLevel="0" max="14" min="14" style="0" width="14"/>
    <col collapsed="false" customWidth="true" hidden="false" outlineLevel="0" max="15" min="15" style="0" width="10"/>
  </cols>
  <sheetData>
    <row r="1" customFormat="false" ht="21.75" hidden="false" customHeight="true" outlineLevel="0" collapsed="false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3" customFormat="false" ht="19.5" hidden="false" customHeight="true" outlineLevel="0" collapsed="false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 s="8" t="s">
        <v>29</v>
      </c>
      <c r="M3" s="8" t="s">
        <v>30</v>
      </c>
      <c r="N3" s="8" t="s">
        <v>31</v>
      </c>
      <c r="O3" s="8" t="s">
        <v>32</v>
      </c>
    </row>
    <row r="4" customFormat="false" ht="27.75" hidden="false" customHeight="true" outlineLevel="0" collapsed="false">
      <c r="A4" s="9" t="s">
        <v>33</v>
      </c>
      <c r="B4" s="10" t="n">
        <v>2730000</v>
      </c>
      <c r="C4" s="10" t="n">
        <v>2280000</v>
      </c>
      <c r="D4" s="10" t="n">
        <v>2610000</v>
      </c>
      <c r="E4" s="10" t="n">
        <v>2590000</v>
      </c>
      <c r="F4" s="10" t="n">
        <v>3030000</v>
      </c>
      <c r="G4" s="10" t="n">
        <v>3560000</v>
      </c>
      <c r="H4" s="10" t="n">
        <v>2810000</v>
      </c>
      <c r="I4" s="10" t="n">
        <v>2290000</v>
      </c>
      <c r="J4" s="10" t="n">
        <v>2660000</v>
      </c>
      <c r="K4" s="10" t="n">
        <v>3040000</v>
      </c>
      <c r="L4" s="10" t="n">
        <v>2590000</v>
      </c>
      <c r="M4" s="10" t="n">
        <v>4010000</v>
      </c>
      <c r="N4" s="11" t="n">
        <f aca="false">SUM(B4:M4)</f>
        <v>34200000</v>
      </c>
      <c r="O4" s="12" t="n">
        <f aca="false">N4/N$10</f>
        <v>0.220218931101095</v>
      </c>
    </row>
    <row r="5" customFormat="false" ht="27.75" hidden="false" customHeight="true" outlineLevel="0" collapsed="false">
      <c r="A5" s="9" t="s">
        <v>34</v>
      </c>
      <c r="B5" s="10" t="n">
        <v>4770000</v>
      </c>
      <c r="C5" s="10" t="n">
        <v>5060000</v>
      </c>
      <c r="D5" s="10" t="n">
        <v>4530000</v>
      </c>
      <c r="E5" s="10" t="n">
        <v>3660000</v>
      </c>
      <c r="F5" s="10" t="n">
        <v>3120000</v>
      </c>
      <c r="G5" s="10" t="n">
        <v>3060000</v>
      </c>
      <c r="H5" s="10" t="n">
        <v>3140000</v>
      </c>
      <c r="I5" s="10" t="n">
        <v>3040000</v>
      </c>
      <c r="J5" s="10" t="n">
        <v>3770000</v>
      </c>
      <c r="K5" s="10" t="n">
        <v>4140000</v>
      </c>
      <c r="L5" s="10" t="n">
        <v>4360000</v>
      </c>
      <c r="M5" s="10" t="n">
        <v>4850000</v>
      </c>
      <c r="N5" s="11" t="n">
        <f aca="false">SUM(B5:M5)</f>
        <v>47500000</v>
      </c>
      <c r="O5" s="12" t="n">
        <f aca="false">N5/N$10</f>
        <v>0.305859626529298</v>
      </c>
    </row>
    <row r="6" customFormat="false" ht="27.75" hidden="false" customHeight="true" outlineLevel="0" collapsed="false">
      <c r="A6" s="9" t="s">
        <v>35</v>
      </c>
      <c r="B6" s="10" t="n">
        <v>1170000</v>
      </c>
      <c r="C6" s="10" t="n">
        <v>1090000</v>
      </c>
      <c r="D6" s="10" t="n">
        <v>1170000</v>
      </c>
      <c r="E6" s="10" t="n">
        <v>1170000</v>
      </c>
      <c r="F6" s="10" t="n">
        <v>1540000</v>
      </c>
      <c r="G6" s="10" t="n">
        <v>1620000</v>
      </c>
      <c r="H6" s="10" t="n">
        <v>1400000</v>
      </c>
      <c r="I6" s="10" t="n">
        <v>1270000</v>
      </c>
      <c r="J6" s="10" t="n">
        <v>1240000</v>
      </c>
      <c r="K6" s="10" t="n">
        <v>1430000</v>
      </c>
      <c r="L6" s="10" t="n">
        <v>1210000</v>
      </c>
      <c r="M6" s="10" t="n">
        <v>1490000</v>
      </c>
      <c r="N6" s="11" t="n">
        <f aca="false">SUM(B6:M6)</f>
        <v>15800000</v>
      </c>
      <c r="O6" s="12" t="n">
        <f aca="false">N6/N$10</f>
        <v>0.101738570508693</v>
      </c>
    </row>
    <row r="7" customFormat="false" ht="27.75" hidden="false" customHeight="true" outlineLevel="0" collapsed="false">
      <c r="A7" s="9" t="s">
        <v>36</v>
      </c>
      <c r="B7" s="10" t="n">
        <v>1950000</v>
      </c>
      <c r="C7" s="10" t="n">
        <v>2140000</v>
      </c>
      <c r="D7" s="10" t="n">
        <v>2450000</v>
      </c>
      <c r="E7" s="10" t="n">
        <v>2370000</v>
      </c>
      <c r="F7" s="10" t="n">
        <v>2640000</v>
      </c>
      <c r="G7" s="10" t="n">
        <v>3110000</v>
      </c>
      <c r="H7" s="10" t="n">
        <v>3400000</v>
      </c>
      <c r="I7" s="10" t="n">
        <v>2970000</v>
      </c>
      <c r="J7" s="10" t="n">
        <v>2230000</v>
      </c>
      <c r="K7" s="10" t="n">
        <v>2040000</v>
      </c>
      <c r="L7" s="10" t="n">
        <v>2010000</v>
      </c>
      <c r="M7" s="10" t="n">
        <v>2290000</v>
      </c>
      <c r="N7" s="11" t="n">
        <f aca="false">SUM(B7:M7)</f>
        <v>29600000</v>
      </c>
      <c r="O7" s="12" t="n">
        <f aca="false">N7/N$10</f>
        <v>0.190598840952994</v>
      </c>
    </row>
    <row r="8" customFormat="false" ht="27.75" hidden="false" customHeight="true" outlineLevel="0" collapsed="false">
      <c r="A8" s="9" t="s">
        <v>37</v>
      </c>
      <c r="B8" s="10" t="n">
        <v>1880000</v>
      </c>
      <c r="C8" s="10" t="n">
        <v>1820000</v>
      </c>
      <c r="D8" s="10" t="n">
        <v>1820000</v>
      </c>
      <c r="E8" s="10" t="n">
        <v>1790000</v>
      </c>
      <c r="F8" s="10" t="n">
        <v>1800000</v>
      </c>
      <c r="G8" s="10" t="n">
        <v>1950000</v>
      </c>
      <c r="H8" s="10" t="n">
        <v>1890000</v>
      </c>
      <c r="I8" s="10" t="n">
        <v>1880000</v>
      </c>
      <c r="J8" s="10" t="n">
        <v>1780000</v>
      </c>
      <c r="K8" s="10" t="n">
        <v>1900000</v>
      </c>
      <c r="L8" s="10" t="n">
        <v>1780000</v>
      </c>
      <c r="M8" s="10" t="n">
        <v>2010000</v>
      </c>
      <c r="N8" s="11" t="n">
        <f aca="false">SUM(B8:M8)</f>
        <v>22300000</v>
      </c>
      <c r="O8" s="12" t="n">
        <f aca="false">N8/N$10</f>
        <v>0.143593045717965</v>
      </c>
    </row>
    <row r="9" customFormat="false" ht="27.75" hidden="false" customHeight="true" outlineLevel="0" collapsed="false">
      <c r="A9" s="9" t="s">
        <v>38</v>
      </c>
      <c r="B9" s="10" t="n">
        <v>480000</v>
      </c>
      <c r="C9" s="10" t="n">
        <v>460000</v>
      </c>
      <c r="D9" s="10" t="n">
        <v>450000</v>
      </c>
      <c r="E9" s="10" t="n">
        <v>460000</v>
      </c>
      <c r="F9" s="10" t="n">
        <v>470000</v>
      </c>
      <c r="G9" s="10" t="n">
        <v>460000</v>
      </c>
      <c r="H9" s="10" t="n">
        <v>440000</v>
      </c>
      <c r="I9" s="10" t="n">
        <v>420000</v>
      </c>
      <c r="J9" s="10" t="n">
        <v>440000</v>
      </c>
      <c r="K9" s="10" t="n">
        <v>440000</v>
      </c>
      <c r="L9" s="10" t="n">
        <v>430000</v>
      </c>
      <c r="M9" s="10" t="n">
        <v>950000</v>
      </c>
      <c r="N9" s="11" t="n">
        <f aca="false">SUM(B9:M9)</f>
        <v>5900000</v>
      </c>
      <c r="O9" s="12" t="n">
        <f aca="false">N9/N$10</f>
        <v>0.0379909851899549</v>
      </c>
    </row>
    <row r="10" customFormat="false" ht="19.5" hidden="false" customHeight="true" outlineLevel="0" collapsed="false">
      <c r="A10" s="13" t="s">
        <v>39</v>
      </c>
      <c r="B10" s="14" t="n">
        <f aca="false">SUM(B4:B9)</f>
        <v>12980000</v>
      </c>
      <c r="C10" s="14" t="n">
        <f aca="false">SUM(C4:C9)</f>
        <v>12850000</v>
      </c>
      <c r="D10" s="14" t="n">
        <f aca="false">SUM(D4:D9)</f>
        <v>13030000</v>
      </c>
      <c r="E10" s="14" t="n">
        <f aca="false">SUM(E4:E9)</f>
        <v>12040000</v>
      </c>
      <c r="F10" s="14" t="n">
        <f aca="false">SUM(F4:F9)</f>
        <v>12600000</v>
      </c>
      <c r="G10" s="14" t="n">
        <f aca="false">SUM(G4:G9)</f>
        <v>13760000</v>
      </c>
      <c r="H10" s="14" t="n">
        <f aca="false">SUM(H4:H9)</f>
        <v>13080000</v>
      </c>
      <c r="I10" s="14" t="n">
        <f aca="false">SUM(I4:I9)</f>
        <v>11870000</v>
      </c>
      <c r="J10" s="14" t="n">
        <f aca="false">SUM(J4:J9)</f>
        <v>12120000</v>
      </c>
      <c r="K10" s="14" t="n">
        <f aca="false">SUM(K4:K9)</f>
        <v>12990000</v>
      </c>
      <c r="L10" s="14" t="n">
        <f aca="false">SUM(L4:L9)</f>
        <v>12380000</v>
      </c>
      <c r="M10" s="14" t="n">
        <f aca="false">SUM(M4:M9)</f>
        <v>15600000</v>
      </c>
      <c r="N10" s="15" t="n">
        <f aca="false">SUM(N4:N9)</f>
        <v>155300000</v>
      </c>
      <c r="O10" s="16" t="n">
        <f aca="false">SUM(O4:O9)</f>
        <v>1</v>
      </c>
    </row>
    <row r="12" customFormat="false" ht="27.75" hidden="false" customHeight="true" outlineLevel="0" collapsed="false">
      <c r="A12" s="17" t="s">
        <v>40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4" customFormat="false" ht="15" hidden="false" customHeight="false" outlineLevel="0" collapsed="false">
      <c r="A14" s="18" t="s">
        <v>41</v>
      </c>
      <c r="B14" s="18"/>
      <c r="C14" s="18"/>
      <c r="D14" s="19" t="n">
        <v>186500000</v>
      </c>
      <c r="E14" s="19"/>
      <c r="F14" s="19"/>
    </row>
  </sheetData>
  <mergeCells count="4">
    <mergeCell ref="A1:O1"/>
    <mergeCell ref="A12:O12"/>
    <mergeCell ref="A14:C14"/>
    <mergeCell ref="D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5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7" t="s">
        <v>42</v>
      </c>
      <c r="B1" s="7"/>
      <c r="C1" s="7"/>
      <c r="D1" s="7"/>
      <c r="E1" s="7"/>
      <c r="F1" s="7"/>
      <c r="G1" s="7"/>
    </row>
    <row r="3" customFormat="false" ht="19.5" hidden="false" customHeight="true" outlineLevel="0" collapsed="false">
      <c r="A3" s="8" t="s">
        <v>18</v>
      </c>
      <c r="B3" s="8" t="s">
        <v>43</v>
      </c>
      <c r="C3" s="8" t="s">
        <v>44</v>
      </c>
      <c r="D3" s="8" t="s">
        <v>45</v>
      </c>
      <c r="E3" s="8" t="s">
        <v>46</v>
      </c>
      <c r="F3" s="8" t="s">
        <v>47</v>
      </c>
      <c r="G3" s="8" t="s">
        <v>48</v>
      </c>
    </row>
    <row r="4" customFormat="false" ht="27.75" hidden="false" customHeight="true" outlineLevel="0" collapsed="false">
      <c r="A4" s="9" t="s">
        <v>33</v>
      </c>
      <c r="B4" s="10" t="n">
        <v>27600000</v>
      </c>
      <c r="C4" s="10" t="n">
        <v>30800000</v>
      </c>
      <c r="D4" s="10" t="n">
        <v>34200000</v>
      </c>
      <c r="E4" s="12" t="n">
        <f aca="false">C4/B4-1</f>
        <v>0.115942028985507</v>
      </c>
      <c r="F4" s="12" t="n">
        <f aca="false">D4/C4-1</f>
        <v>0.11038961038961</v>
      </c>
      <c r="G4" s="12" t="n">
        <f aca="false">(D4/B4)^(1/2)-1</f>
        <v>0.113162357781923</v>
      </c>
    </row>
    <row r="5" customFormat="false" ht="27.75" hidden="false" customHeight="true" outlineLevel="0" collapsed="false">
      <c r="A5" s="9" t="s">
        <v>34</v>
      </c>
      <c r="B5" s="10" t="n">
        <v>41200000</v>
      </c>
      <c r="C5" s="10" t="n">
        <v>44300000</v>
      </c>
      <c r="D5" s="10" t="n">
        <v>47500000</v>
      </c>
      <c r="E5" s="12" t="n">
        <f aca="false">C5/B5-1</f>
        <v>0.075242718446602</v>
      </c>
      <c r="F5" s="12" t="n">
        <f aca="false">D5/C5-1</f>
        <v>0.072234762979684</v>
      </c>
      <c r="G5" s="12" t="n">
        <f aca="false">(D5/B5)^(1/2)-1</f>
        <v>0.073737687407508</v>
      </c>
    </row>
    <row r="6" customFormat="false" ht="27.75" hidden="false" customHeight="true" outlineLevel="0" collapsed="false">
      <c r="A6" s="9" t="s">
        <v>35</v>
      </c>
      <c r="B6" s="10" t="n">
        <v>11900000</v>
      </c>
      <c r="C6" s="10" t="n">
        <v>13700000</v>
      </c>
      <c r="D6" s="10" t="n">
        <v>15800000</v>
      </c>
      <c r="E6" s="12" t="n">
        <f aca="false">C6/B6-1</f>
        <v>0.151260504201681</v>
      </c>
      <c r="F6" s="12" t="n">
        <f aca="false">D6/C6-1</f>
        <v>0.153284671532847</v>
      </c>
      <c r="G6" s="12" t="n">
        <f aca="false">(D6/B6)^(1/2)-1</f>
        <v>0.152272143391905</v>
      </c>
    </row>
    <row r="7" customFormat="false" ht="27.75" hidden="false" customHeight="true" outlineLevel="0" collapsed="false">
      <c r="A7" s="9" t="s">
        <v>36</v>
      </c>
      <c r="B7" s="10" t="n">
        <v>19400000</v>
      </c>
      <c r="C7" s="10" t="n">
        <v>24100000</v>
      </c>
      <c r="D7" s="10" t="n">
        <v>29600000</v>
      </c>
      <c r="E7" s="12" t="n">
        <f aca="false">C7/B7-1</f>
        <v>0.242268041237113</v>
      </c>
      <c r="F7" s="12" t="n">
        <f aca="false">D7/C7-1</f>
        <v>0.228215767634855</v>
      </c>
      <c r="G7" s="12" t="n">
        <f aca="false">(D7/B7)^(1/2)-1</f>
        <v>0.235221921711353</v>
      </c>
    </row>
    <row r="8" customFormat="false" ht="27.75" hidden="false" customHeight="true" outlineLevel="0" collapsed="false">
      <c r="A8" s="9" t="s">
        <v>37</v>
      </c>
      <c r="B8" s="10" t="n">
        <v>20100000</v>
      </c>
      <c r="C8" s="10" t="n">
        <v>21200000</v>
      </c>
      <c r="D8" s="10" t="n">
        <v>22300000</v>
      </c>
      <c r="E8" s="12" t="n">
        <f aca="false">C8/B8-1</f>
        <v>0.0547263681592041</v>
      </c>
      <c r="F8" s="12" t="n">
        <f aca="false">D8/C8-1</f>
        <v>0.0518867924528301</v>
      </c>
      <c r="G8" s="12" t="n">
        <f aca="false">(D8/B8)^(1/2)-1</f>
        <v>0.0533056234153542</v>
      </c>
    </row>
    <row r="9" customFormat="false" ht="27.75" hidden="false" customHeight="true" outlineLevel="0" collapsed="false">
      <c r="A9" s="9" t="s">
        <v>38</v>
      </c>
      <c r="B9" s="10" t="n">
        <v>5100000</v>
      </c>
      <c r="C9" s="10" t="n">
        <v>5500000</v>
      </c>
      <c r="D9" s="10" t="n">
        <v>5900000</v>
      </c>
      <c r="E9" s="12" t="n">
        <f aca="false">C9/B9-1</f>
        <v>0.0784313725490196</v>
      </c>
      <c r="F9" s="12" t="n">
        <f aca="false">D9/C9-1</f>
        <v>0.0727272727272728</v>
      </c>
      <c r="G9" s="12" t="n">
        <f aca="false">(D9/B9)^(1/2)-1</f>
        <v>0.0755755413256845</v>
      </c>
    </row>
    <row r="10" customFormat="false" ht="19.5" hidden="false" customHeight="true" outlineLevel="0" collapsed="false">
      <c r="A10" s="13" t="s">
        <v>49</v>
      </c>
      <c r="B10" s="14" t="n">
        <f aca="false">SUM(B4:B9)</f>
        <v>125300000</v>
      </c>
      <c r="C10" s="14" t="n">
        <f aca="false">SUM(C4:C9)</f>
        <v>139600000</v>
      </c>
      <c r="D10" s="14" t="n">
        <f aca="false">SUM(D4:D9)</f>
        <v>155300000</v>
      </c>
      <c r="E10" s="16" t="n">
        <f aca="false">C10/B10-1</f>
        <v>0.114126097366321</v>
      </c>
      <c r="F10" s="16" t="n">
        <f aca="false">D10/C10-1</f>
        <v>0.112464183381089</v>
      </c>
      <c r="G10" s="16" t="n">
        <f aca="false">(D10/B10)^(1/2)-1</f>
        <v>0.113294830262938</v>
      </c>
    </row>
    <row r="12" customFormat="false" ht="15" hidden="false" customHeight="false" outlineLevel="0" collapsed="false">
      <c r="A12" s="18" t="s">
        <v>50</v>
      </c>
      <c r="B12" s="18"/>
      <c r="C12" s="18"/>
      <c r="D12" s="20" t="n">
        <f aca="false">D10*(1+G10)</f>
        <v>172894687.139834</v>
      </c>
    </row>
    <row r="14" customFormat="false" ht="27.75" hidden="false" customHeight="true" outlineLevel="0" collapsed="false">
      <c r="A14" s="17" t="s">
        <v>51</v>
      </c>
      <c r="B14" s="17"/>
      <c r="C14" s="17"/>
      <c r="D14" s="17"/>
      <c r="E14" s="17"/>
      <c r="F14" s="17"/>
      <c r="G14" s="17"/>
    </row>
  </sheetData>
  <mergeCells count="3">
    <mergeCell ref="A1:G1"/>
    <mergeCell ref="A12:C12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2026-09-07T01:17:27Z</dcterms:created>
  <dc:creator>openpyxl</dc:creator>
  <dc:description/>
  <dc:language>en-US</dc:language>
  <cp:lastModifiedBy/>
  <dcterms:modified xsi:type="dcterms:W3CDTF">2026-09-07T01:17:27Z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